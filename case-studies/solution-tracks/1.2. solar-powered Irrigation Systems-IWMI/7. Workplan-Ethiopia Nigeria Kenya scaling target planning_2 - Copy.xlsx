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cgiar-my.sharepoint.com/personal/s_tilahun_cgiar_org/Documents/Documents/Scaling4impact/S4I 2026/"/>
    </mc:Choice>
  </mc:AlternateContent>
  <xr:revisionPtr revIDLastSave="605" documentId="14_{59B71E17-192B-46B1-92A2-4709E233ECBE}" xr6:coauthVersionLast="47" xr6:coauthVersionMax="47" xr10:uidLastSave="{1A53FF86-96CA-4435-B690-8597BE338DD1}"/>
  <bookViews>
    <workbookView xWindow="19090" yWindow="-110" windowWidth="19420" windowHeight="10300" firstSheet="3" activeTab="3" xr2:uid="{F1F5AB0E-09C7-4563-AB46-6B28AFF2611B}"/>
  </bookViews>
  <sheets>
    <sheet name="Ethiopia" sheetId="1" r:id="rId1"/>
    <sheet name="Nigeria" sheetId="2" r:id="rId2"/>
    <sheet name="Kenya" sheetId="3" r:id="rId3"/>
    <sheet name="Summar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4" l="1"/>
  <c r="E5" i="1"/>
  <c r="E4" i="1"/>
  <c r="J14" i="4"/>
  <c r="J16" i="4"/>
  <c r="J13" i="4"/>
  <c r="J15" i="4"/>
  <c r="L6" i="4"/>
  <c r="L5" i="4"/>
  <c r="L4" i="4"/>
  <c r="L3" i="4"/>
  <c r="K6" i="4"/>
  <c r="K5" i="4"/>
  <c r="I6" i="4"/>
  <c r="I5" i="4"/>
  <c r="I4" i="4"/>
  <c r="I3" i="4"/>
  <c r="H6" i="4"/>
  <c r="H5" i="4"/>
  <c r="G15" i="4" s="1"/>
  <c r="G5" i="4"/>
  <c r="F6" i="4"/>
  <c r="F5" i="4"/>
  <c r="F4" i="4"/>
  <c r="F3" i="4"/>
  <c r="E6" i="4"/>
  <c r="E5" i="4"/>
  <c r="E4" i="4"/>
  <c r="E3" i="4"/>
  <c r="D6" i="4"/>
  <c r="D5" i="4"/>
  <c r="D4" i="4"/>
  <c r="F7" i="2"/>
  <c r="E7" i="2"/>
  <c r="D7" i="2"/>
  <c r="D7" i="3"/>
  <c r="E6" i="2"/>
  <c r="F6" i="2" s="1"/>
  <c r="E2" i="2"/>
  <c r="F2" i="2" s="1"/>
  <c r="K3" i="4" s="1"/>
  <c r="K7" i="4" s="1"/>
  <c r="E3" i="2"/>
  <c r="F3" i="2" s="1"/>
  <c r="E5" i="3"/>
  <c r="F5" i="3" s="1"/>
  <c r="E4" i="3"/>
  <c r="F4" i="3" s="1"/>
  <c r="E3" i="3"/>
  <c r="F3" i="3" s="1"/>
  <c r="E2" i="3"/>
  <c r="F2" i="3" s="1"/>
  <c r="E5" i="2"/>
  <c r="F5" i="2" s="1"/>
  <c r="K4" i="4" s="1"/>
  <c r="E4" i="2"/>
  <c r="F4" i="2" s="1"/>
  <c r="H3" i="4" l="1"/>
  <c r="H4" i="4"/>
  <c r="H7" i="4"/>
  <c r="L7" i="4"/>
  <c r="I7" i="4"/>
  <c r="F7" i="4"/>
  <c r="E7" i="4"/>
  <c r="F7" i="3"/>
  <c r="E7" i="3"/>
  <c r="G8" i="1"/>
  <c r="F8" i="1"/>
  <c r="G6" i="4" s="1"/>
  <c r="G16" i="4" s="1"/>
  <c r="G7" i="1"/>
  <c r="J5" i="4" s="1"/>
  <c r="H15" i="4" s="1"/>
  <c r="G6" i="1"/>
  <c r="J6" i="4" s="1"/>
  <c r="H16" i="4" s="1"/>
  <c r="F5" i="1"/>
  <c r="F3" i="1"/>
  <c r="F4" i="1" l="1"/>
  <c r="G4" i="1" s="1"/>
  <c r="D3" i="4"/>
  <c r="D7" i="4" s="1"/>
  <c r="D8" i="4" s="1"/>
  <c r="G3" i="4"/>
  <c r="G3" i="1"/>
  <c r="J3" i="4" s="1"/>
  <c r="G5" i="1"/>
  <c r="J4" i="4" s="1"/>
  <c r="H14" i="4" s="1"/>
  <c r="G4" i="4"/>
  <c r="G14" i="4" s="1"/>
  <c r="F9" i="1"/>
  <c r="G9" i="1"/>
  <c r="E9" i="1"/>
  <c r="H13" i="4" l="1"/>
  <c r="H17" i="4" s="1"/>
  <c r="J7" i="4"/>
  <c r="J8" i="4" s="1"/>
  <c r="G13" i="4"/>
  <c r="G17" i="4" s="1"/>
  <c r="G7" i="4"/>
  <c r="G8" i="4" s="1"/>
</calcChain>
</file>

<file path=xl/sharedStrings.xml><?xml version="1.0" encoding="utf-8"?>
<sst xmlns="http://schemas.openxmlformats.org/spreadsheetml/2006/main" count="121" uniqueCount="95">
  <si>
    <t>Reaching farmers type</t>
  </si>
  <si>
    <t>Main partners</t>
  </si>
  <si>
    <t>How do we achieve the goal</t>
  </si>
  <si>
    <t xml:space="preserve">who will be involved </t>
  </si>
  <si>
    <t>Estimated goal 2026</t>
  </si>
  <si>
    <t>Estimated goal 2027. assumed 5% increase and 5% spill over effect from the base year</t>
  </si>
  <si>
    <t>Estimated goal 2028. assumed 5% increase and 5% spill over effect from the base year</t>
  </si>
  <si>
    <t>Means of verification</t>
  </si>
  <si>
    <t>Remark</t>
  </si>
  <si>
    <t xml:space="preserve">Direct pump deployment/enabling condition </t>
  </si>
  <si>
    <t>Farm Africa; MOA; Central Ethiopia Bureau of Agriculture; GSE;  Ethiopian Standard Authority; MILLS</t>
  </si>
  <si>
    <t>in collaboration with  SOLAR 2 and NSSID, we are working on instalation of  3 larger size pumps that will serve about 60 farms and 420 family mebers</t>
  </si>
  <si>
    <t>60 farms for direct provision and instalation  and blended finacing  in 2026 and then after there will be spill over effect as 10% annually</t>
  </si>
  <si>
    <t xml:space="preserve">installed pumps </t>
  </si>
  <si>
    <t>Provision, installation, and commissioning of appropriate irrigation pumps, including site assessment, sizing, and basic user training</t>
  </si>
  <si>
    <t>as part of SOLAR project, we are working on : standard development; solar suitability mapping; , BCR; market segmentation; and a basic users training manual. Government programs will benefit and IWMI activities will be imapct 10% of their achievement.</t>
  </si>
  <si>
    <t xml:space="preserve">government programs such as: PACT 100 solar pumps; CREW-WHEAT 180 solar pumps; PSNP- 400 solar pumps; EFSRP- FLID  20000 ha. These programs will use the tools developed by S4I and W3 in their planned pump deployment </t>
  </si>
  <si>
    <t>tools developed and partners has access to it and training offered on how to use</t>
  </si>
  <si>
    <t xml:space="preserve">Digital advisory services </t>
  </si>
  <si>
    <t>MOA (Government programs (PACT, CREW-WHEAT and PSNP) and FLID)</t>
  </si>
  <si>
    <t xml:space="preserve">Promote and support to use the solar pump sizing developed by SOLAR bilteral ( SOLAR II). government programs will benefit and IWMI actvities will impact 10 of their achivement </t>
  </si>
  <si>
    <t>government programs  such as  ( PACT 100 solar pumps; CREW-WHEAT 180 solar pumps; PSNP- 400 solar pumps; EFSRP- Flid 20000 ha</t>
  </si>
  <si>
    <t>tool completed and training on use offered to the MoA staff and users</t>
  </si>
  <si>
    <t>(Mobile- or platform-based advisories delivering timely guidance on irrigation scheduling, weather, crop water needs, and system maintenance.)</t>
  </si>
  <si>
    <t>Financial services</t>
  </si>
  <si>
    <t>Green Scene LEWEGEN micro finance; Awash Bank; SINKE BANK</t>
  </si>
  <si>
    <t>Private sector- solar pump suppliers will broker between farmers and financial institutions, providing access to credit ( MoU signed already)</t>
  </si>
  <si>
    <t>farmers; LEWEGEN micro finace; GSE; AWASH; SINKE BANK</t>
  </si>
  <si>
    <t>About 300 farms have accessed credit and owned solar pumps</t>
  </si>
  <si>
    <t>Access to tailored financing options such as pay-as-you-go, credit, leasing, insurance, or results-based subsidies to reduce upfront investment barriers.</t>
  </si>
  <si>
    <t>Extension and agronomic support</t>
  </si>
  <si>
    <t>National Media houses (eg, ETV) and IWMI  and GSE will give training of trainers</t>
  </si>
  <si>
    <t>Capacity building through TOT, social media, and mainstream media (broadcasting solar pump documentary video to national TV, and blogstories)</t>
  </si>
  <si>
    <t>extension agents ; IWMI; GSE</t>
  </si>
  <si>
    <t>evidence in mainstream media  and blogstories</t>
  </si>
  <si>
    <t>Ongoing technical backstopping on crop choice, water management, soil health, and productivity optimization to ensure effective pump use and sustained benefits.</t>
  </si>
  <si>
    <t>Policy support</t>
  </si>
  <si>
    <t xml:space="preserve">Ministry of Agriculture and Ministry of irrigation and low land </t>
  </si>
  <si>
    <t>develop policy brief that will impact goverment policy on rehabilitation and manitenace of irrigation schmes through out the country. This will start impacting in 2027 onwards. This is also inline with the 10-year development strategy of EFDRP</t>
  </si>
  <si>
    <t>EIAR; ADAM UNIVERSITY; MoA; MILLS; IWMI; Farm Africa</t>
  </si>
  <si>
    <t>1 complted policy brief</t>
  </si>
  <si>
    <t xml:space="preserve">IWMI ministry of agriculture and member of agrcultural water management platform. We assumed 2-5 % of 1.3 million ha of irrigation will be rehabilitated </t>
  </si>
  <si>
    <t xml:space="preserve">Total </t>
  </si>
  <si>
    <r>
      <t>Main Partners</t>
    </r>
    <r>
      <rPr>
        <sz val="10"/>
        <color rgb="FFD13438"/>
        <rFont val="Times New Roman"/>
        <family val="1"/>
      </rPr>
      <t xml:space="preserve"> </t>
    </r>
  </si>
  <si>
    <r>
      <t>How do we achieve the goal</t>
    </r>
    <r>
      <rPr>
        <sz val="10"/>
        <rFont val="Times New Roman"/>
        <family val="1"/>
      </rPr>
      <t xml:space="preserve"> </t>
    </r>
  </si>
  <si>
    <r>
      <t>No. of farmers reached in 2026</t>
    </r>
    <r>
      <rPr>
        <sz val="10"/>
        <rFont val="Times New Roman"/>
        <family val="1"/>
      </rPr>
      <t xml:space="preserve"> </t>
    </r>
  </si>
  <si>
    <r>
      <t>No of farmers reached in 2027</t>
    </r>
    <r>
      <rPr>
        <sz val="10"/>
        <color rgb="FF0078D4"/>
        <rFont val="Times New Roman"/>
        <family val="1"/>
      </rPr>
      <t xml:space="preserve"> </t>
    </r>
    <r>
      <rPr>
        <b/>
        <sz val="10"/>
        <rFont val="Times New Roman"/>
        <family val="1"/>
      </rPr>
      <t>(assumed 5% increase and 5% spill over)</t>
    </r>
  </si>
  <si>
    <r>
      <t>No of farmers reached in 2028</t>
    </r>
    <r>
      <rPr>
        <sz val="10"/>
        <color rgb="FF0078D4"/>
        <rFont val="Times New Roman"/>
        <family val="1"/>
      </rPr>
      <t xml:space="preserve"> </t>
    </r>
    <r>
      <rPr>
        <b/>
        <sz val="10"/>
        <rFont val="Times New Roman"/>
        <family val="1"/>
      </rPr>
      <t>(assumed 5% increase and 5% spill over)</t>
    </r>
  </si>
  <si>
    <r>
      <t>State the evidence (</t>
    </r>
    <r>
      <rPr>
        <b/>
        <u/>
        <sz val="10"/>
        <rFont val="Times New Roman"/>
        <family val="1"/>
      </rPr>
      <t xml:space="preserve">e.g., </t>
    </r>
    <r>
      <rPr>
        <b/>
        <strike/>
        <sz val="10"/>
        <rFont val="Times New Roman"/>
        <family val="1"/>
      </rPr>
      <t xml:space="preserve"> </t>
    </r>
    <r>
      <rPr>
        <b/>
        <sz val="10"/>
        <rFont val="Times New Roman"/>
        <family val="1"/>
      </rPr>
      <t>partners' plan, or others</t>
    </r>
    <r>
      <rPr>
        <sz val="10"/>
        <rFont val="Times New Roman"/>
        <family val="1"/>
      </rPr>
      <t xml:space="preserve"> )</t>
    </r>
  </si>
  <si>
    <r>
      <t>Remarks</t>
    </r>
    <r>
      <rPr>
        <sz val="10"/>
        <color rgb="FFD13438"/>
        <rFont val="Times New Roman"/>
        <family val="1"/>
      </rPr>
      <t xml:space="preserve"> </t>
    </r>
  </si>
  <si>
    <t xml:space="preserve">Direct solar pump deployment for SSI </t>
  </si>
  <si>
    <t xml:space="preserve">Bank of Agriculture (BOA).; </t>
  </si>
  <si>
    <t xml:space="preserve">1)  Provide technical assistance  (eg, implement co-design pathways, selection of solar kits, strategy to raise funds and alternative finance products) to BoA to deploy solar and FLID. </t>
  </si>
  <si>
    <t>Targets are based on existing MOU with IWMI, and align with the National Economic Council mandate to directly empower at least 5% of the BOA targets</t>
  </si>
  <si>
    <t xml:space="preserve"> The BOA is leading the mobilization of Finnancial Institutions (including donor agencies)  </t>
  </si>
  <si>
    <r>
      <t>Rural Electrification Agency (REA);</t>
    </r>
    <r>
      <rPr>
        <sz val="10"/>
        <color rgb="FF8764B8"/>
        <rFont val="Times New Roman"/>
        <family val="1"/>
      </rPr>
      <t xml:space="preserve"> </t>
    </r>
  </si>
  <si>
    <r>
      <t>2)</t>
    </r>
    <r>
      <rPr>
        <sz val="7"/>
        <color theme="1"/>
        <rFont val="Times New Roman"/>
        <family val="1"/>
      </rPr>
      <t xml:space="preserve">     </t>
    </r>
    <r>
      <rPr>
        <sz val="10"/>
        <color theme="1"/>
        <rFont val="Times New Roman"/>
        <family val="1"/>
      </rPr>
      <t>Strategic alignment with REA working with CeeSolar and other private suppliers to scale existing standalone solar solutions among rural farmers for irrigation</t>
    </r>
  </si>
  <si>
    <t xml:space="preserve">National Economic Council approval for Solar Scaling with BOA/ NASENI </t>
  </si>
  <si>
    <t>Extension and agronomic support to adopt FLID</t>
  </si>
  <si>
    <t>National Agricultural Extension and Research Liaison Services (NAERLS) under the Federal Ministry of Agriculture and Food Security (FMA&amp;FS)</t>
  </si>
  <si>
    <t>Capacity building and awareness creation on SPIS and FLID scaling pathways using the National Electronic Extension Platform (NEEP);                                      and targeting NAERLS Zonal offices across the targeted states</t>
  </si>
  <si>
    <t xml:space="preserve"> NEEP is the federal government's flagship platform for extension services, and it is active in the FMA&amp;FS</t>
  </si>
  <si>
    <t>Digital advisory</t>
  </si>
  <si>
    <t>Public, private and financial institution in Nigeria (IFPRI)</t>
  </si>
  <si>
    <t xml:space="preserve">Solar irrigation potential explorer_poly vr1 </t>
  </si>
  <si>
    <t>Financial services and policy</t>
  </si>
  <si>
    <t>financial institutions (other than BoA) and private suppliers in Nigeria (through IFPRI)</t>
  </si>
  <si>
    <t>Technical assistance to local financial institutions and private solar suppliers to design appropriate financial product</t>
  </si>
  <si>
    <t xml:space="preserve"> </t>
  </si>
  <si>
    <t>Total</t>
  </si>
  <si>
    <r>
      <t>How do we achieve the goal</t>
    </r>
    <r>
      <rPr>
        <sz val="10"/>
        <color rgb="FF0078D4"/>
        <rFont val="Times New Roman"/>
        <family val="1"/>
      </rPr>
      <t xml:space="preserve"> </t>
    </r>
  </si>
  <si>
    <r>
      <rPr>
        <b/>
        <sz val="10"/>
        <rFont val="Times New Roman"/>
        <family val="1"/>
      </rPr>
      <t>No. of farmers reached in 2026</t>
    </r>
    <r>
      <rPr>
        <sz val="10"/>
        <rFont val="Times New Roman"/>
        <family val="1"/>
      </rPr>
      <t xml:space="preserve"> </t>
    </r>
  </si>
  <si>
    <r>
      <t>No. of farmers reached in 2027 ((assumed 10% increase and 10% spill over)</t>
    </r>
    <r>
      <rPr>
        <sz val="10"/>
        <color rgb="FF0078D4"/>
        <rFont val="Times New Roman"/>
        <family val="1"/>
      </rPr>
      <t xml:space="preserve"> </t>
    </r>
  </si>
  <si>
    <r>
      <t>No. of farmers reached in 2028</t>
    </r>
    <r>
      <rPr>
        <sz val="10"/>
        <color rgb="FF0078D4"/>
        <rFont val="Times New Roman"/>
        <family val="1"/>
      </rPr>
      <t xml:space="preserve"> </t>
    </r>
    <r>
      <rPr>
        <b/>
        <sz val="10"/>
        <rFont val="Times New Roman"/>
        <family val="1"/>
      </rPr>
      <t>(assumed 10% increase and 10% spill over)</t>
    </r>
  </si>
  <si>
    <r>
      <t>Evidence (e.g. partners' plan, or others)</t>
    </r>
    <r>
      <rPr>
        <sz val="10"/>
        <rFont val="Times New Roman"/>
        <family val="1"/>
      </rPr>
      <t xml:space="preserve"> </t>
    </r>
  </si>
  <si>
    <t>State Department Irrigation - Ministry of Water, sanitation and Irrigation; SNV</t>
  </si>
  <si>
    <r>
      <t>1)</t>
    </r>
    <r>
      <rPr>
        <sz val="7"/>
        <color theme="1"/>
        <rFont val="Times New Roman"/>
        <family val="1"/>
      </rPr>
      <t xml:space="preserve">     </t>
    </r>
    <r>
      <rPr>
        <sz val="10"/>
        <color theme="1"/>
        <rFont val="Times New Roman"/>
        <family val="1"/>
      </rPr>
      <t>Provide technical assistance in the deployment of pumps as part of the FLID pathway  National Irrigation Sector Investment Plan; 2)     Provide technical support to SNV Power For Food Partnership</t>
    </r>
  </si>
  <si>
    <t>IWMI MoU with Ministry of Water, Sanitation and Irrigation (State Department for Irrigation)</t>
  </si>
  <si>
    <t>Capacity building on solar irrigation</t>
  </si>
  <si>
    <t>Strathmore University</t>
  </si>
  <si>
    <t>Curriculum development and capacityh building on solar irrigation (installation, maintenmance etc.)</t>
  </si>
  <si>
    <t>Sub-agreement with Strathmore under SoLAR Phase II Project</t>
  </si>
  <si>
    <t>Media houses (Citizen TV, KTN)</t>
  </si>
  <si>
    <t>Capacity building through mainstream and social media</t>
  </si>
  <si>
    <t xml:space="preserve">Financial services </t>
  </si>
  <si>
    <t>S4I AoW3</t>
  </si>
  <si>
    <t xml:space="preserve">Technical assistance to SMEs on enabling environment and to design appropriate financial product </t>
  </si>
  <si>
    <t>Farmers reached by</t>
  </si>
  <si>
    <t>Ethiopia</t>
  </si>
  <si>
    <t>Nigeria</t>
  </si>
  <si>
    <t>Kenya</t>
  </si>
  <si>
    <t>SPIS deployment by public and private</t>
  </si>
  <si>
    <t xml:space="preserve">to </t>
  </si>
  <si>
    <t>Finance access and policy support</t>
  </si>
  <si>
    <t>Capacity building on solar and FLID (use of digital tools and curriculum)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</si>
</sst>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charset val="1"/>
      <scheme val="minor"/>
    </font>
    <font>
      <b/>
      <sz val="11"/>
      <color theme="1"/>
      <name val="Aptos Narrow"/>
      <family val="2"/>
      <scheme val="minor"/>
    </font>
    <font>
      <i/>
      <sz val="11"/>
      <color theme="1"/>
      <name val="Aptos Narrow"/>
      <family val="2"/>
      <scheme val="minor"/>
    </font>
    <font>
      <sz val="8"/>
      <color theme="1"/>
      <name val="Aptos Narrow"/>
      <family val="2"/>
      <charset val="1"/>
      <scheme val="minor"/>
    </font>
    <font>
      <b/>
      <sz val="8"/>
      <color theme="1"/>
      <name val="Aptos Narrow"/>
      <family val="2"/>
      <scheme val="minor"/>
    </font>
    <font>
      <b/>
      <sz val="10"/>
      <color theme="1"/>
      <name val="Times New Roman"/>
      <family val="1"/>
    </font>
    <font>
      <sz val="10"/>
      <color rgb="FFD13438"/>
      <name val="Times New Roman"/>
      <family val="1"/>
    </font>
    <font>
      <sz val="10"/>
      <color rgb="FF0078D4"/>
      <name val="Times New Roman"/>
      <family val="1"/>
    </font>
    <font>
      <sz val="10"/>
      <color theme="1"/>
      <name val="Times New Roman"/>
      <family val="1"/>
    </font>
    <font>
      <u/>
      <sz val="10"/>
      <color rgb="FF8764B8"/>
      <name val="Times New Roman"/>
      <family val="1"/>
    </font>
    <font>
      <sz val="10"/>
      <color rgb="FF8764B8"/>
      <name val="Times New Roman"/>
      <family val="1"/>
    </font>
    <font>
      <sz val="7"/>
      <color theme="1"/>
      <name val="Times New Roman"/>
      <family val="1"/>
    </font>
    <font>
      <u/>
      <sz val="11"/>
      <color theme="10"/>
      <name val="Aptos Narrow"/>
      <family val="2"/>
      <charset val="1"/>
      <scheme val="minor"/>
    </font>
    <font>
      <b/>
      <sz val="11"/>
      <color theme="1"/>
      <name val="Aptos Narrow"/>
      <family val="2"/>
      <charset val="1"/>
      <scheme val="minor"/>
    </font>
    <font>
      <b/>
      <sz val="10"/>
      <name val="Times New Roman"/>
      <family val="1"/>
    </font>
    <font>
      <b/>
      <u/>
      <sz val="10"/>
      <name val="Times New Roman"/>
      <family val="1"/>
    </font>
    <font>
      <sz val="10"/>
      <name val="Times New Roman"/>
      <family val="1"/>
    </font>
    <font>
      <b/>
      <strike/>
      <sz val="10"/>
      <name val="Times New Roman"/>
      <family val="1"/>
    </font>
    <font>
      <i/>
      <sz val="11"/>
      <color theme="1"/>
      <name val="Aptos Narrow"/>
      <family val="2"/>
      <charset val="1"/>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rgb="FF000000"/>
      </right>
      <top style="medium">
        <color rgb="FF000000"/>
      </top>
      <bottom style="medium">
        <color rgb="FF000000"/>
      </bottom>
      <diagonal/>
    </border>
    <border>
      <left/>
      <right style="medium">
        <color rgb="FF000000"/>
      </right>
      <top/>
      <bottom/>
      <diagonal/>
    </border>
    <border>
      <left/>
      <right style="medium">
        <color rgb="FF000000"/>
      </right>
      <top style="medium">
        <color rgb="FF000000"/>
      </top>
      <bottom/>
      <diagonal/>
    </border>
    <border>
      <left/>
      <right/>
      <top/>
      <bottom style="thin">
        <color indexed="64"/>
      </bottom>
      <diagonal/>
    </border>
    <border>
      <left style="thin">
        <color indexed="64"/>
      </left>
      <right/>
      <top/>
      <bottom/>
      <diagonal/>
    </border>
  </borders>
  <cellStyleXfs count="2">
    <xf numFmtId="0" fontId="0" fillId="0" borderId="0"/>
    <xf numFmtId="0" fontId="12" fillId="0" borderId="0" applyNumberFormat="0" applyFill="0" applyBorder="0" applyAlignment="0" applyProtection="0"/>
  </cellStyleXfs>
  <cellXfs count="41">
    <xf numFmtId="0" fontId="0" fillId="0" borderId="0" xfId="0"/>
    <xf numFmtId="0" fontId="0" fillId="0" borderId="1" xfId="0" applyBorder="1"/>
    <xf numFmtId="0" fontId="3" fillId="0" borderId="1" xfId="0" applyFont="1" applyBorder="1" applyAlignment="1">
      <alignment wrapText="1"/>
    </xf>
    <xf numFmtId="0" fontId="3" fillId="0" borderId="1" xfId="0" applyFont="1" applyBorder="1" applyAlignment="1">
      <alignment vertical="center" wrapText="1"/>
    </xf>
    <xf numFmtId="0" fontId="3" fillId="0" borderId="0" xfId="0" applyFont="1" applyAlignment="1">
      <alignment wrapText="1"/>
    </xf>
    <xf numFmtId="0" fontId="3" fillId="0" borderId="1" xfId="0" applyFont="1" applyBorder="1" applyAlignment="1">
      <alignment vertical="top" wrapText="1"/>
    </xf>
    <xf numFmtId="0" fontId="1" fillId="0" borderId="1" xfId="0" applyFont="1" applyBorder="1"/>
    <xf numFmtId="0" fontId="4" fillId="0" borderId="1" xfId="0" applyFont="1" applyBorder="1" applyAlignment="1">
      <alignment wrapText="1"/>
    </xf>
    <xf numFmtId="0" fontId="5" fillId="0" borderId="4" xfId="0" applyFont="1" applyBorder="1" applyAlignment="1">
      <alignment horizontal="center" vertical="center" wrapText="1"/>
    </xf>
    <xf numFmtId="0" fontId="8" fillId="0" borderId="5" xfId="0" applyFont="1" applyBorder="1" applyAlignment="1">
      <alignment vertical="center" wrapText="1"/>
    </xf>
    <xf numFmtId="0" fontId="8" fillId="0" borderId="5" xfId="0" applyFont="1" applyBorder="1" applyAlignment="1">
      <alignment horizontal="left" vertical="center" wrapText="1" indent="3"/>
    </xf>
    <xf numFmtId="0" fontId="2" fillId="0" borderId="2" xfId="0" applyFont="1" applyBorder="1" applyAlignment="1">
      <alignment horizontal="center" vertical="center" wrapText="1"/>
    </xf>
    <xf numFmtId="0" fontId="13" fillId="0" borderId="0" xfId="0" applyFont="1"/>
    <xf numFmtId="0" fontId="5"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8" fillId="0" borderId="1" xfId="0" applyFont="1" applyBorder="1" applyAlignment="1">
      <alignment horizontal="left" vertical="top" wrapText="1"/>
    </xf>
    <xf numFmtId="3" fontId="8" fillId="0" borderId="1" xfId="0" applyNumberFormat="1" applyFont="1" applyBorder="1" applyAlignment="1">
      <alignment vertical="center" wrapText="1"/>
    </xf>
    <xf numFmtId="0" fontId="8" fillId="0" borderId="1" xfId="0" applyFont="1" applyBorder="1" applyAlignment="1">
      <alignment horizontal="left" vertical="center" wrapText="1"/>
    </xf>
    <xf numFmtId="0" fontId="8" fillId="0" borderId="1" xfId="0" applyFont="1" applyBorder="1" applyAlignment="1">
      <alignment vertical="center"/>
    </xf>
    <xf numFmtId="0" fontId="0" fillId="0" borderId="1" xfId="0" applyBorder="1" applyAlignment="1">
      <alignment vertical="center" wrapText="1"/>
    </xf>
    <xf numFmtId="0" fontId="12" fillId="0" borderId="1" xfId="1" applyBorder="1" applyAlignment="1">
      <alignment vertical="center" wrapText="1"/>
    </xf>
    <xf numFmtId="0" fontId="8" fillId="0" borderId="6" xfId="0" applyFont="1" applyBorder="1" applyAlignment="1">
      <alignment vertical="center" wrapText="1"/>
    </xf>
    <xf numFmtId="0" fontId="14" fillId="0" borderId="1" xfId="0" applyFont="1" applyBorder="1" applyAlignment="1">
      <alignment horizontal="center" vertical="center" wrapText="1"/>
    </xf>
    <xf numFmtId="0" fontId="8" fillId="0" borderId="1" xfId="0" applyFont="1" applyBorder="1" applyAlignment="1">
      <alignment horizontal="left" vertical="center" wrapText="1" indent="3"/>
    </xf>
    <xf numFmtId="0" fontId="2" fillId="0" borderId="1" xfId="0" applyFont="1" applyBorder="1" applyAlignment="1">
      <alignment horizontal="center" vertical="center" wrapText="1"/>
    </xf>
    <xf numFmtId="3" fontId="0" fillId="0" borderId="1" xfId="0" applyNumberFormat="1" applyBorder="1"/>
    <xf numFmtId="1" fontId="0" fillId="0" borderId="1" xfId="0" applyNumberFormat="1" applyBorder="1"/>
    <xf numFmtId="0" fontId="2" fillId="2" borderId="2" xfId="0" applyFont="1" applyFill="1" applyBorder="1" applyAlignment="1">
      <alignment horizontal="center" vertical="center" wrapText="1"/>
    </xf>
    <xf numFmtId="0" fontId="0" fillId="2" borderId="1" xfId="0" applyFill="1" applyBorder="1"/>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8" fillId="0" borderId="1" xfId="0" applyFont="1" applyBorder="1" applyAlignment="1">
      <alignment vertical="center" wrapText="1"/>
    </xf>
    <xf numFmtId="0" fontId="8" fillId="0" borderId="6" xfId="0" applyFont="1" applyBorder="1" applyAlignment="1">
      <alignment vertical="center" wrapText="1"/>
    </xf>
    <xf numFmtId="0" fontId="8" fillId="0" borderId="5" xfId="0" applyFont="1" applyBorder="1" applyAlignment="1">
      <alignment vertical="center" wrapText="1"/>
    </xf>
    <xf numFmtId="0" fontId="0" fillId="0" borderId="1"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7"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arcgis.com/apps/mapviewer/index.html?url=https://services.arcgis.com/P8Cok4qAP1sTVE59/ArcGIS/rest/services/tomato_solar_size_vs_irr_admin/FeatureServer&amp;source=s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8E2A7-1180-4D09-BC2F-E534A738074A}">
  <dimension ref="A2:I9"/>
  <sheetViews>
    <sheetView topLeftCell="B1" workbookViewId="0">
      <selection activeCell="G8" sqref="G8"/>
    </sheetView>
  </sheetViews>
  <sheetFormatPr defaultRowHeight="14.45"/>
  <cols>
    <col min="1" max="2" width="25.5703125" customWidth="1"/>
    <col min="3" max="3" width="29.5703125" style="4" customWidth="1"/>
    <col min="4" max="4" width="24.5703125" style="4" customWidth="1"/>
    <col min="5" max="5" width="12.42578125" style="4" customWidth="1"/>
    <col min="6" max="6" width="19.28515625" style="4" customWidth="1"/>
    <col min="7" max="7" width="18.5703125" style="4" customWidth="1"/>
    <col min="8" max="8" width="17.42578125" style="4" customWidth="1"/>
    <col min="9" max="9" width="24.140625" customWidth="1"/>
  </cols>
  <sheetData>
    <row r="2" spans="1:9" ht="36.6" customHeight="1">
      <c r="A2" s="13" t="s">
        <v>0</v>
      </c>
      <c r="B2" s="13" t="s">
        <v>1</v>
      </c>
      <c r="C2" s="13" t="s">
        <v>2</v>
      </c>
      <c r="D2" s="23" t="s">
        <v>3</v>
      </c>
      <c r="E2" s="23" t="s">
        <v>4</v>
      </c>
      <c r="F2" s="23" t="s">
        <v>5</v>
      </c>
      <c r="G2" s="23" t="s">
        <v>6</v>
      </c>
      <c r="H2" s="23" t="s">
        <v>7</v>
      </c>
      <c r="I2" s="23" t="s">
        <v>8</v>
      </c>
    </row>
    <row r="3" spans="1:9" ht="48.95" customHeight="1">
      <c r="A3" s="30" t="s">
        <v>9</v>
      </c>
      <c r="B3" s="32" t="s">
        <v>10</v>
      </c>
      <c r="C3" s="3" t="s">
        <v>11</v>
      </c>
      <c r="D3" s="3" t="s">
        <v>12</v>
      </c>
      <c r="E3" s="2">
        <v>60</v>
      </c>
      <c r="F3" s="2">
        <f>(E3*0.1)+E3</f>
        <v>66</v>
      </c>
      <c r="G3" s="2">
        <f>(F3*10%)+F3</f>
        <v>72.599999999999994</v>
      </c>
      <c r="H3" s="2" t="s">
        <v>13</v>
      </c>
      <c r="I3" s="3" t="s">
        <v>14</v>
      </c>
    </row>
    <row r="4" spans="1:9" ht="79.5" customHeight="1">
      <c r="A4" s="31"/>
      <c r="B4" s="33"/>
      <c r="C4" s="3" t="s">
        <v>15</v>
      </c>
      <c r="D4" s="2" t="s">
        <v>16</v>
      </c>
      <c r="E4" s="2">
        <f>(100+180+400+( 20000/5))*0.1</f>
        <v>468</v>
      </c>
      <c r="F4" s="2">
        <f>E4+E4*0.1</f>
        <v>514.79999999999995</v>
      </c>
      <c r="G4" s="2">
        <f>(F4*10%)+F4</f>
        <v>566.28</v>
      </c>
      <c r="H4" s="3" t="s">
        <v>17</v>
      </c>
      <c r="I4" s="1"/>
    </row>
    <row r="5" spans="1:9" ht="53.1" customHeight="1">
      <c r="A5" s="11" t="s">
        <v>18</v>
      </c>
      <c r="B5" s="11" t="s">
        <v>19</v>
      </c>
      <c r="C5" s="2" t="s">
        <v>20</v>
      </c>
      <c r="D5" s="2" t="s">
        <v>21</v>
      </c>
      <c r="E5" s="2">
        <f>(4680)*0.1</f>
        <v>468</v>
      </c>
      <c r="F5" s="2">
        <f>E5+E5*0.1</f>
        <v>514.79999999999995</v>
      </c>
      <c r="G5" s="2">
        <f>(F5*10%)+F5</f>
        <v>566.28</v>
      </c>
      <c r="H5" s="2" t="s">
        <v>22</v>
      </c>
      <c r="I5" s="3" t="s">
        <v>23</v>
      </c>
    </row>
    <row r="6" spans="1:9" ht="60.95" customHeight="1">
      <c r="A6" s="28" t="s">
        <v>24</v>
      </c>
      <c r="B6" s="25" t="s">
        <v>25</v>
      </c>
      <c r="C6" s="2" t="s">
        <v>26</v>
      </c>
      <c r="D6" s="2" t="s">
        <v>27</v>
      </c>
      <c r="E6" s="2">
        <v>300</v>
      </c>
      <c r="F6" s="2">
        <v>330</v>
      </c>
      <c r="G6" s="2">
        <f>(F6*10%)+F6</f>
        <v>363</v>
      </c>
      <c r="H6" s="2" t="s">
        <v>28</v>
      </c>
      <c r="I6" s="3" t="s">
        <v>29</v>
      </c>
    </row>
    <row r="7" spans="1:9" ht="47.45" customHeight="1">
      <c r="A7" s="11" t="s">
        <v>30</v>
      </c>
      <c r="B7" s="20" t="s">
        <v>31</v>
      </c>
      <c r="C7" s="2" t="s">
        <v>32</v>
      </c>
      <c r="D7" s="2" t="s">
        <v>33</v>
      </c>
      <c r="E7" s="2">
        <v>50000</v>
      </c>
      <c r="F7" s="2">
        <v>50000</v>
      </c>
      <c r="G7" s="2">
        <f>(F7*10%)+F7</f>
        <v>55000</v>
      </c>
      <c r="H7" s="2" t="s">
        <v>34</v>
      </c>
      <c r="I7" s="3" t="s">
        <v>35</v>
      </c>
    </row>
    <row r="8" spans="1:9" ht="126.95" customHeight="1">
      <c r="A8" s="28" t="s">
        <v>36</v>
      </c>
      <c r="B8" s="20" t="s">
        <v>37</v>
      </c>
      <c r="C8" s="5" t="s">
        <v>38</v>
      </c>
      <c r="D8" s="4" t="s">
        <v>39</v>
      </c>
      <c r="E8" s="2" t="s">
        <v>40</v>
      </c>
      <c r="F8" s="2">
        <f>1300000*0.01/0.25</f>
        <v>52000</v>
      </c>
      <c r="G8" s="2">
        <f>0.01*1300000/0.25</f>
        <v>52000</v>
      </c>
      <c r="H8" s="2"/>
      <c r="I8" s="2" t="s">
        <v>41</v>
      </c>
    </row>
    <row r="9" spans="1:9">
      <c r="A9" s="6" t="s">
        <v>42</v>
      </c>
      <c r="B9" s="6"/>
      <c r="C9" s="7"/>
      <c r="D9" s="7"/>
      <c r="E9" s="7">
        <f>E3+E4+E5+E6+E7</f>
        <v>51296</v>
      </c>
      <c r="F9" s="7">
        <f>F3+F4+F5+F6+F7+F8</f>
        <v>103425.60000000001</v>
      </c>
      <c r="G9" s="7">
        <f>G3+G4+G5+G6+G7+G8</f>
        <v>108568.16</v>
      </c>
      <c r="H9" s="7"/>
    </row>
  </sheetData>
  <mergeCells count="2">
    <mergeCell ref="A3:A4"/>
    <mergeCell ref="B3:B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0C653-9112-45A1-8341-86C215C02567}">
  <dimension ref="A1:H7"/>
  <sheetViews>
    <sheetView topLeftCell="A3" workbookViewId="0">
      <selection activeCell="B4" sqref="B4"/>
    </sheetView>
  </sheetViews>
  <sheetFormatPr defaultRowHeight="14.45"/>
  <cols>
    <col min="1" max="1" width="20.7109375" customWidth="1"/>
    <col min="2" max="2" width="21" customWidth="1"/>
    <col min="3" max="3" width="21.140625" customWidth="1"/>
    <col min="4" max="4" width="16.28515625" customWidth="1"/>
    <col min="5" max="5" width="17.140625" customWidth="1"/>
    <col min="6" max="6" width="15.140625" customWidth="1"/>
    <col min="7" max="7" width="25.42578125" customWidth="1"/>
    <col min="8" max="8" width="30" customWidth="1"/>
  </cols>
  <sheetData>
    <row r="1" spans="1:8" ht="65.099999999999994">
      <c r="A1" s="13" t="s">
        <v>0</v>
      </c>
      <c r="B1" s="13" t="s">
        <v>43</v>
      </c>
      <c r="C1" s="23" t="s">
        <v>44</v>
      </c>
      <c r="D1" s="23" t="s">
        <v>45</v>
      </c>
      <c r="E1" s="23" t="s">
        <v>46</v>
      </c>
      <c r="F1" s="23" t="s">
        <v>47</v>
      </c>
      <c r="G1" s="23" t="s">
        <v>48</v>
      </c>
      <c r="H1" s="13" t="s">
        <v>49</v>
      </c>
    </row>
    <row r="2" spans="1:8" ht="104.1">
      <c r="A2" s="34" t="s">
        <v>50</v>
      </c>
      <c r="B2" s="15" t="s">
        <v>51</v>
      </c>
      <c r="C2" s="16" t="s">
        <v>52</v>
      </c>
      <c r="D2" s="17">
        <v>10000</v>
      </c>
      <c r="E2" s="17">
        <f>0.1*D2+D2</f>
        <v>11000</v>
      </c>
      <c r="F2" s="17">
        <f>0.1*E2+E2</f>
        <v>12100</v>
      </c>
      <c r="G2" s="14" t="s">
        <v>53</v>
      </c>
      <c r="H2" s="14" t="s">
        <v>54</v>
      </c>
    </row>
    <row r="3" spans="1:8" ht="90.95">
      <c r="A3" s="34"/>
      <c r="B3" s="15" t="s">
        <v>55</v>
      </c>
      <c r="C3" s="18" t="s">
        <v>56</v>
      </c>
      <c r="D3" s="17">
        <v>50</v>
      </c>
      <c r="E3" s="17">
        <f>0.1*D3+D3</f>
        <v>55</v>
      </c>
      <c r="F3" s="17">
        <f>0.1*E3+E3</f>
        <v>60.5</v>
      </c>
      <c r="G3" s="14" t="s">
        <v>57</v>
      </c>
      <c r="H3" s="14"/>
    </row>
    <row r="4" spans="1:8" ht="117">
      <c r="A4" s="14" t="s">
        <v>58</v>
      </c>
      <c r="B4" s="14" t="s">
        <v>59</v>
      </c>
      <c r="C4" s="18" t="s">
        <v>60</v>
      </c>
      <c r="D4" s="19">
        <v>20000</v>
      </c>
      <c r="E4" s="14">
        <f>0.1*D4+D4</f>
        <v>22000</v>
      </c>
      <c r="F4" s="14">
        <f>0.1*E4 +E4</f>
        <v>24200</v>
      </c>
      <c r="G4" s="14" t="s">
        <v>61</v>
      </c>
      <c r="H4" s="14"/>
    </row>
    <row r="5" spans="1:8" ht="39">
      <c r="A5" s="14" t="s">
        <v>62</v>
      </c>
      <c r="B5" s="14" t="s">
        <v>63</v>
      </c>
      <c r="C5" s="21" t="s">
        <v>64</v>
      </c>
      <c r="D5" s="19">
        <v>4000</v>
      </c>
      <c r="E5" s="14">
        <f>0.1*D5+D5</f>
        <v>4400</v>
      </c>
      <c r="F5" s="14">
        <f>0.1*E5 +E5</f>
        <v>4840</v>
      </c>
      <c r="G5" s="14"/>
      <c r="H5" s="14"/>
    </row>
    <row r="6" spans="1:8" ht="65.099999999999994">
      <c r="A6" s="14" t="s">
        <v>65</v>
      </c>
      <c r="B6" s="14" t="s">
        <v>66</v>
      </c>
      <c r="C6" s="14" t="s">
        <v>67</v>
      </c>
      <c r="D6" s="14">
        <v>5000</v>
      </c>
      <c r="E6" s="14">
        <f>0.1*D6+D6</f>
        <v>5500</v>
      </c>
      <c r="F6" s="14">
        <f>0.1*E6+E6</f>
        <v>6050</v>
      </c>
      <c r="G6" s="14" t="s">
        <v>68</v>
      </c>
      <c r="H6" s="14"/>
    </row>
    <row r="7" spans="1:8">
      <c r="A7" s="12" t="s">
        <v>69</v>
      </c>
      <c r="D7">
        <f>SUM(D2:D6)</f>
        <v>39050</v>
      </c>
      <c r="E7">
        <f t="shared" ref="E7:F7" si="0">SUM(E2:E6)</f>
        <v>42955</v>
      </c>
      <c r="F7">
        <f t="shared" si="0"/>
        <v>47250.5</v>
      </c>
    </row>
  </sheetData>
  <mergeCells count="1">
    <mergeCell ref="A2:A3"/>
  </mergeCells>
  <hyperlinks>
    <hyperlink ref="C5" r:id="rId1" display="https://www.arcgis.com/apps/mapviewer/index.html?url=https://services.arcgis.com/P8Cok4qAP1sTVE59/ArcGIS/rest/services/tomato_solar_size_vs_irr_admin/FeatureServer&amp;source=sd" xr:uid="{8864E604-A2EF-4CD5-A6BD-A25EE6749E9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3E90-6301-4C27-BABD-FCB3DAFA06F9}">
  <dimension ref="A1:H16"/>
  <sheetViews>
    <sheetView workbookViewId="0">
      <selection activeCell="B3" sqref="B3"/>
    </sheetView>
  </sheetViews>
  <sheetFormatPr defaultRowHeight="14.45"/>
  <cols>
    <col min="1" max="1" width="24.42578125" customWidth="1"/>
    <col min="2" max="2" width="21.85546875" customWidth="1"/>
    <col min="3" max="3" width="43.85546875" customWidth="1"/>
    <col min="4" max="4" width="19.5703125" customWidth="1"/>
    <col min="5" max="5" width="18" customWidth="1"/>
    <col min="6" max="6" width="23.28515625" customWidth="1"/>
    <col min="7" max="7" width="27.28515625" customWidth="1"/>
    <col min="8" max="8" width="36.7109375" customWidth="1"/>
  </cols>
  <sheetData>
    <row r="1" spans="1:8" ht="65.45" thickBot="1">
      <c r="A1" s="13" t="s">
        <v>0</v>
      </c>
      <c r="B1" s="13" t="s">
        <v>43</v>
      </c>
      <c r="C1" s="13" t="s">
        <v>70</v>
      </c>
      <c r="D1" s="23" t="s">
        <v>71</v>
      </c>
      <c r="E1" s="23" t="s">
        <v>72</v>
      </c>
      <c r="F1" s="23" t="s">
        <v>73</v>
      </c>
      <c r="G1" s="23" t="s">
        <v>74</v>
      </c>
      <c r="H1" s="8" t="s">
        <v>49</v>
      </c>
    </row>
    <row r="2" spans="1:8" ht="51.95">
      <c r="A2" s="14" t="s">
        <v>50</v>
      </c>
      <c r="B2" s="14" t="s">
        <v>75</v>
      </c>
      <c r="C2" s="14" t="s">
        <v>76</v>
      </c>
      <c r="D2" s="14">
        <v>5000</v>
      </c>
      <c r="E2" s="14">
        <f>0.1*D2+D2</f>
        <v>5500</v>
      </c>
      <c r="F2" s="14">
        <f>0.1*E2+E2</f>
        <v>6050</v>
      </c>
      <c r="G2" s="24" t="s">
        <v>77</v>
      </c>
      <c r="H2" s="22" t="s">
        <v>68</v>
      </c>
    </row>
    <row r="3" spans="1:8" ht="26.45" thickBot="1">
      <c r="A3" s="14" t="s">
        <v>78</v>
      </c>
      <c r="B3" s="14" t="s">
        <v>79</v>
      </c>
      <c r="C3" s="14" t="s">
        <v>80</v>
      </c>
      <c r="D3" s="14">
        <v>5000</v>
      </c>
      <c r="E3" s="14">
        <f t="shared" ref="E3:F5" si="0">0.2*D3+D3</f>
        <v>6000</v>
      </c>
      <c r="F3" s="14">
        <f t="shared" si="0"/>
        <v>7200</v>
      </c>
      <c r="G3" s="24" t="s">
        <v>81</v>
      </c>
      <c r="H3" s="9"/>
    </row>
    <row r="4" spans="1:8" ht="26.45" thickBot="1">
      <c r="A4" s="14" t="s">
        <v>30</v>
      </c>
      <c r="B4" s="14" t="s">
        <v>82</v>
      </c>
      <c r="C4" s="14" t="s">
        <v>83</v>
      </c>
      <c r="D4" s="14">
        <v>30000</v>
      </c>
      <c r="E4" s="14">
        <f t="shared" si="0"/>
        <v>36000</v>
      </c>
      <c r="F4" s="14">
        <f t="shared" si="0"/>
        <v>43200</v>
      </c>
      <c r="G4" s="14" t="s">
        <v>68</v>
      </c>
      <c r="H4" s="22"/>
    </row>
    <row r="5" spans="1:8" ht="14.45" customHeight="1">
      <c r="A5" s="34" t="s">
        <v>84</v>
      </c>
      <c r="B5" s="34" t="s">
        <v>85</v>
      </c>
      <c r="C5" s="34" t="s">
        <v>86</v>
      </c>
      <c r="D5" s="34">
        <v>2000</v>
      </c>
      <c r="E5" s="34">
        <f t="shared" si="0"/>
        <v>2400</v>
      </c>
      <c r="F5" s="34">
        <f t="shared" si="0"/>
        <v>2880</v>
      </c>
      <c r="G5" s="34" t="s">
        <v>68</v>
      </c>
      <c r="H5" s="35"/>
    </row>
    <row r="6" spans="1:8">
      <c r="A6" s="34"/>
      <c r="B6" s="34"/>
      <c r="C6" s="34"/>
      <c r="D6" s="34"/>
      <c r="E6" s="34"/>
      <c r="F6" s="34"/>
      <c r="G6" s="34"/>
      <c r="H6" s="36"/>
    </row>
    <row r="7" spans="1:8">
      <c r="A7" s="12" t="s">
        <v>69</v>
      </c>
      <c r="D7">
        <f>SUM(D2:D6)</f>
        <v>42000</v>
      </c>
      <c r="E7">
        <f t="shared" ref="E7:F7" si="1">SUM(E2:E6)</f>
        <v>49900</v>
      </c>
      <c r="F7">
        <f t="shared" si="1"/>
        <v>59330</v>
      </c>
    </row>
    <row r="16" spans="1:8">
      <c r="C16" s="10"/>
    </row>
  </sheetData>
  <mergeCells count="8">
    <mergeCell ref="G5:G6"/>
    <mergeCell ref="H5:H6"/>
    <mergeCell ref="A5:A6"/>
    <mergeCell ref="B5:B6"/>
    <mergeCell ref="C5:C6"/>
    <mergeCell ref="D5:D6"/>
    <mergeCell ref="E5:E6"/>
    <mergeCell ref="F5:F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C8259-7D31-418C-8461-70EDF472404A}">
  <dimension ref="C1:L17"/>
  <sheetViews>
    <sheetView tabSelected="1" workbookViewId="0">
      <selection activeCell="I21" sqref="I21"/>
    </sheetView>
  </sheetViews>
  <sheetFormatPr defaultRowHeight="14.45"/>
  <cols>
    <col min="3" max="3" width="41.85546875" customWidth="1"/>
  </cols>
  <sheetData>
    <row r="1" spans="3:12">
      <c r="D1" s="37">
        <v>2026</v>
      </c>
      <c r="E1" s="37"/>
      <c r="F1" s="37"/>
      <c r="G1" s="38">
        <v>2027</v>
      </c>
      <c r="H1" s="39"/>
      <c r="I1" s="39"/>
      <c r="J1" s="40">
        <v>2028</v>
      </c>
      <c r="K1" s="40"/>
      <c r="L1" s="40"/>
    </row>
    <row r="2" spans="3:12">
      <c r="C2" s="6" t="s">
        <v>87</v>
      </c>
      <c r="D2" s="1" t="s">
        <v>88</v>
      </c>
      <c r="E2" s="1" t="s">
        <v>89</v>
      </c>
      <c r="F2" s="1" t="s">
        <v>90</v>
      </c>
      <c r="G2" s="1" t="s">
        <v>88</v>
      </c>
      <c r="H2" s="1" t="s">
        <v>89</v>
      </c>
      <c r="I2" s="1" t="s">
        <v>90</v>
      </c>
      <c r="J2" s="1" t="s">
        <v>88</v>
      </c>
      <c r="K2" s="1" t="s">
        <v>89</v>
      </c>
      <c r="L2" s="1" t="s">
        <v>90</v>
      </c>
    </row>
    <row r="3" spans="3:12">
      <c r="C3" s="1" t="s">
        <v>91</v>
      </c>
      <c r="D3" s="29">
        <f>Ethiopia!E3+Ethiopia!E4</f>
        <v>528</v>
      </c>
      <c r="E3" s="26">
        <f>Nigeria!D2+Nigeria!D3</f>
        <v>10050</v>
      </c>
      <c r="F3" s="1">
        <f>Kenya!D2</f>
        <v>5000</v>
      </c>
      <c r="G3" s="29">
        <f>Ethiopia!F3+Ethiopia!F4</f>
        <v>580.79999999999995</v>
      </c>
      <c r="H3" s="26">
        <f>Nigeria!E2+Nigeria!E3</f>
        <v>11055</v>
      </c>
      <c r="I3" s="1">
        <f>Kenya!E2</f>
        <v>5500</v>
      </c>
      <c r="J3" s="29">
        <f>Ethiopia!G3+Ethiopia!G4</f>
        <v>638.88</v>
      </c>
      <c r="K3" s="26">
        <f>Nigeria!F2+Nigeria!F3</f>
        <v>12160.5</v>
      </c>
      <c r="L3" s="1">
        <f>Kenya!F2</f>
        <v>6050</v>
      </c>
    </row>
    <row r="4" spans="3:12">
      <c r="C4" s="1" t="s">
        <v>92</v>
      </c>
      <c r="D4" s="29">
        <f>Ethiopia!E5</f>
        <v>468</v>
      </c>
      <c r="E4" s="1">
        <f>Nigeria!D5</f>
        <v>4000</v>
      </c>
      <c r="F4" s="1">
        <f>Kenya!D3</f>
        <v>5000</v>
      </c>
      <c r="G4" s="29">
        <f>Ethiopia!F5</f>
        <v>514.79999999999995</v>
      </c>
      <c r="H4" s="1">
        <f>Nigeria!E5</f>
        <v>4400</v>
      </c>
      <c r="I4" s="1">
        <f>Kenya!E3</f>
        <v>6000</v>
      </c>
      <c r="J4" s="29">
        <f>Ethiopia!G5</f>
        <v>566.28</v>
      </c>
      <c r="K4" s="1">
        <f>Nigeria!F5</f>
        <v>4840</v>
      </c>
      <c r="L4" s="1">
        <f>Kenya!F3</f>
        <v>7200</v>
      </c>
    </row>
    <row r="5" spans="3:12">
      <c r="C5" s="1" t="s">
        <v>30</v>
      </c>
      <c r="D5" s="29">
        <f>Ethiopia!E7</f>
        <v>50000</v>
      </c>
      <c r="E5" s="1">
        <f>Nigeria!D4</f>
        <v>20000</v>
      </c>
      <c r="F5" s="1">
        <f>Kenya!D4</f>
        <v>30000</v>
      </c>
      <c r="G5" s="29">
        <f>Ethiopia!F7</f>
        <v>50000</v>
      </c>
      <c r="H5" s="1">
        <f>Nigeria!E4</f>
        <v>22000</v>
      </c>
      <c r="I5" s="1">
        <f>Kenya!E4</f>
        <v>36000</v>
      </c>
      <c r="J5" s="29">
        <f>Ethiopia!G7</f>
        <v>55000</v>
      </c>
      <c r="K5" s="1">
        <f>Nigeria!F4</f>
        <v>24200</v>
      </c>
      <c r="L5" s="1">
        <f>Kenya!F4</f>
        <v>43200</v>
      </c>
    </row>
    <row r="6" spans="3:12">
      <c r="C6" s="1" t="s">
        <v>93</v>
      </c>
      <c r="D6" s="29">
        <f>Ethiopia!E6</f>
        <v>300</v>
      </c>
      <c r="E6" s="1">
        <f>Nigeria!D6</f>
        <v>5000</v>
      </c>
      <c r="F6" s="1">
        <f>Kenya!D5</f>
        <v>2000</v>
      </c>
      <c r="G6" s="29">
        <f>Ethiopia!F6+Ethiopia!F8</f>
        <v>52330</v>
      </c>
      <c r="H6" s="1">
        <f>Nigeria!E6</f>
        <v>5500</v>
      </c>
      <c r="I6" s="1">
        <f>Kenya!E5</f>
        <v>2400</v>
      </c>
      <c r="J6" s="29">
        <f>Ethiopia!G6+Ethiopia!G8</f>
        <v>52363</v>
      </c>
      <c r="K6" s="1">
        <f>Nigeria!F6</f>
        <v>6050</v>
      </c>
      <c r="L6" s="1">
        <f>Kenya!F5</f>
        <v>2880</v>
      </c>
    </row>
    <row r="7" spans="3:12">
      <c r="C7" s="6" t="s">
        <v>69</v>
      </c>
      <c r="D7" s="29">
        <f>SUM(D3:D6)</f>
        <v>51296</v>
      </c>
      <c r="E7" s="1">
        <f t="shared" ref="E7:F7" si="0">SUM(E3:E6)</f>
        <v>39050</v>
      </c>
      <c r="F7" s="1">
        <f t="shared" si="0"/>
        <v>42000</v>
      </c>
      <c r="G7" s="29">
        <f t="shared" ref="G7" si="1">SUM(G3:G6)</f>
        <v>103425.60000000001</v>
      </c>
      <c r="H7" s="1">
        <f t="shared" ref="H7" si="2">SUM(H3:H6)</f>
        <v>42955</v>
      </c>
      <c r="I7" s="1">
        <f t="shared" ref="I7" si="3">SUM(I3:I6)</f>
        <v>49900</v>
      </c>
      <c r="J7" s="1">
        <f t="shared" ref="J7" si="4">SUM(J3:J6)</f>
        <v>108568.16</v>
      </c>
      <c r="K7" s="1">
        <f t="shared" ref="K7" si="5">SUM(K3:K6)</f>
        <v>47250.5</v>
      </c>
      <c r="L7" s="1">
        <f t="shared" ref="L7" si="6">SUM(L3:L6)</f>
        <v>59330</v>
      </c>
    </row>
    <row r="8" spans="3:12">
      <c r="D8" s="37">
        <f>D7+E7+F7</f>
        <v>132346</v>
      </c>
      <c r="E8" s="37"/>
      <c r="F8" s="37"/>
      <c r="G8" s="37">
        <f>G7+H7+I7</f>
        <v>196280.6</v>
      </c>
      <c r="H8" s="37"/>
      <c r="I8" s="37"/>
      <c r="J8" s="37">
        <f>J7+K7+L7</f>
        <v>215148.66</v>
      </c>
      <c r="K8" s="37"/>
      <c r="L8" s="37"/>
    </row>
    <row r="11" spans="3:12">
      <c r="D11" s="37">
        <v>2026</v>
      </c>
      <c r="E11" s="37"/>
      <c r="F11" s="37"/>
      <c r="G11" s="1">
        <v>2027</v>
      </c>
      <c r="H11" s="1">
        <v>2028</v>
      </c>
    </row>
    <row r="12" spans="3:12">
      <c r="C12" s="6" t="s">
        <v>87</v>
      </c>
      <c r="D12" s="1" t="s">
        <v>88</v>
      </c>
      <c r="E12" s="1" t="s">
        <v>89</v>
      </c>
      <c r="F12" s="1" t="s">
        <v>90</v>
      </c>
      <c r="G12" s="1"/>
      <c r="H12" s="1"/>
    </row>
    <row r="13" spans="3:12">
      <c r="C13" s="1" t="s">
        <v>91</v>
      </c>
      <c r="D13" s="29">
        <v>528</v>
      </c>
      <c r="E13" s="1">
        <v>10050</v>
      </c>
      <c r="F13" s="1">
        <v>5000</v>
      </c>
      <c r="G13" s="1">
        <f>SUM(G3:I3)</f>
        <v>17135.8</v>
      </c>
      <c r="H13" s="27">
        <f>SUM(J3:L3)</f>
        <v>18849.379999999997</v>
      </c>
      <c r="J13">
        <f>SUM(D13:F13)</f>
        <v>15578</v>
      </c>
    </row>
    <row r="14" spans="3:12">
      <c r="C14" s="1" t="s">
        <v>94</v>
      </c>
      <c r="D14" s="29">
        <v>468</v>
      </c>
      <c r="E14" s="1">
        <v>4000</v>
      </c>
      <c r="F14" s="1">
        <v>5000</v>
      </c>
      <c r="G14" s="1">
        <f>SUM(G4:I4)</f>
        <v>10914.8</v>
      </c>
      <c r="H14" s="27">
        <f t="shared" ref="H14:H16" si="7">SUM(J4:L4)</f>
        <v>12606.279999999999</v>
      </c>
      <c r="J14">
        <f>SUM(D14:F14)</f>
        <v>9468</v>
      </c>
    </row>
    <row r="15" spans="3:12">
      <c r="C15" s="1" t="s">
        <v>30</v>
      </c>
      <c r="D15" s="29">
        <v>50000</v>
      </c>
      <c r="E15" s="1">
        <v>20000</v>
      </c>
      <c r="F15" s="1">
        <v>30000</v>
      </c>
      <c r="G15" s="1">
        <f>SUM(G5:I5)</f>
        <v>108000</v>
      </c>
      <c r="H15" s="27">
        <f t="shared" si="7"/>
        <v>122400</v>
      </c>
      <c r="J15">
        <f t="shared" ref="J15" si="8">SUM(D15:F15)</f>
        <v>100000</v>
      </c>
    </row>
    <row r="16" spans="3:12">
      <c r="C16" s="1" t="s">
        <v>93</v>
      </c>
      <c r="D16" s="29">
        <v>300</v>
      </c>
      <c r="E16" s="1">
        <v>5000</v>
      </c>
      <c r="F16" s="1">
        <v>2000</v>
      </c>
      <c r="G16" s="1">
        <f>SUM(G6:I6)</f>
        <v>60230</v>
      </c>
      <c r="H16" s="27">
        <f t="shared" si="7"/>
        <v>61293</v>
      </c>
      <c r="J16">
        <f>SUM(D16:F16)</f>
        <v>7300</v>
      </c>
    </row>
    <row r="17" spans="3:8">
      <c r="C17" s="6" t="s">
        <v>69</v>
      </c>
      <c r="D17" s="29">
        <f>D13+D14+D15+D16</f>
        <v>51296</v>
      </c>
      <c r="E17" s="1">
        <v>39050</v>
      </c>
      <c r="F17" s="1">
        <v>42000</v>
      </c>
      <c r="G17" s="1">
        <f>SUM(G13:G16)</f>
        <v>196280.6</v>
      </c>
      <c r="H17" s="27">
        <f>SUM(H13:H16)</f>
        <v>215148.66</v>
      </c>
    </row>
  </sheetData>
  <mergeCells count="7">
    <mergeCell ref="D1:F1"/>
    <mergeCell ref="G1:I1"/>
    <mergeCell ref="J1:L1"/>
    <mergeCell ref="D11:F11"/>
    <mergeCell ref="D8:F8"/>
    <mergeCell ref="G8:I8"/>
    <mergeCell ref="J8:L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F10730E3F5FB4D9F3A4CA62930AC56" ma:contentTypeVersion="17" ma:contentTypeDescription="Create a new document." ma:contentTypeScope="" ma:versionID="c2b3a229504ff3c83c6b28142f535264">
  <xsd:schema xmlns:xsd="http://www.w3.org/2001/XMLSchema" xmlns:xs="http://www.w3.org/2001/XMLSchema" xmlns:p="http://schemas.microsoft.com/office/2006/metadata/properties" xmlns:ns3="536de3d9-ac47-4947-9493-86785fea6563" xmlns:ns4="f7512ac4-15d6-4ca2-9d56-16b6e32a46df" targetNamespace="http://schemas.microsoft.com/office/2006/metadata/properties" ma:root="true" ma:fieldsID="ecd9ca4448cb16ef8f8dbed8ab5faa11" ns3:_="" ns4:_="">
    <xsd:import namespace="536de3d9-ac47-4947-9493-86785fea6563"/>
    <xsd:import namespace="f7512ac4-15d6-4ca2-9d56-16b6e32a46d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DateTaken" minOccurs="0"/>
                <xsd:element ref="ns3:MediaServiceLocation" minOccurs="0"/>
                <xsd:element ref="ns3:MediaLengthInSeconds"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de3d9-ac47-4947-9493-86785fea65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512ac4-15d6-4ca2-9d56-16b6e32a46d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36de3d9-ac47-4947-9493-86785fea656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391BCE-0CAA-4FE0-BC4F-0EAF11E65885}"/>
</file>

<file path=customXml/itemProps2.xml><?xml version="1.0" encoding="utf-8"?>
<ds:datastoreItem xmlns:ds="http://schemas.openxmlformats.org/officeDocument/2006/customXml" ds:itemID="{25EBDF24-3082-4182-AB32-BB7FECF34D2E}"/>
</file>

<file path=customXml/itemProps3.xml><?xml version="1.0" encoding="utf-8"?>
<ds:datastoreItem xmlns:ds="http://schemas.openxmlformats.org/officeDocument/2006/customXml" ds:itemID="{2CEC8D72-7E38-4549-BEDC-F4B066CBD8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Haileslassie, Amare (IWMI)</dc:creator>
  <cp:keywords/>
  <dc:description/>
  <cp:lastModifiedBy>RANA, Md. Masud (CIMMYT-Bangladesh)</cp:lastModifiedBy>
  <cp:revision/>
  <dcterms:created xsi:type="dcterms:W3CDTF">2026-01-20T10:33:51Z</dcterms:created>
  <dcterms:modified xsi:type="dcterms:W3CDTF">2026-02-04T16:04:54Z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0x010100E8F10730E3F5FB4D9F3A4CA62930AC56</vt:lpwstr>
  </property>
</Properties>
</file>